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gliariparti-my.sharepoint.com/personal/kgguimaraes_verointernet_com_br/Documents/Área de Trabalho/Arquivos/"/>
    </mc:Choice>
  </mc:AlternateContent>
  <xr:revisionPtr revIDLastSave="42" documentId="8_{4C8043C8-6B83-47F3-B2B8-D6C08AC3F4D9}" xr6:coauthVersionLast="47" xr6:coauthVersionMax="47" xr10:uidLastSave="{B6767DA3-E935-46D7-8597-81E441F227B5}"/>
  <bookViews>
    <workbookView xWindow="-120" yWindow="-120" windowWidth="20730" windowHeight="11040" activeTab="1" xr2:uid="{79388C02-44B3-4826-82E8-A0001CEF997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2" l="1"/>
  <c r="M4" i="2" s="1"/>
  <c r="J4" i="2"/>
  <c r="H4" i="2"/>
  <c r="F4" i="2"/>
  <c r="L3" i="2"/>
  <c r="M3" i="2" s="1"/>
  <c r="G3" i="2"/>
  <c r="J3" i="2" s="1"/>
  <c r="F3" i="2"/>
  <c r="L2" i="2"/>
  <c r="M2" i="2" s="1"/>
  <c r="J2" i="2"/>
  <c r="F2" i="2"/>
  <c r="L14" i="2"/>
  <c r="M14" i="2" s="1"/>
  <c r="J14" i="2"/>
  <c r="L13" i="2"/>
  <c r="M13" i="2" s="1"/>
  <c r="J13" i="2"/>
  <c r="L12" i="2"/>
  <c r="M12" i="2" s="1"/>
  <c r="J12" i="2"/>
  <c r="L8" i="2"/>
  <c r="M8" i="2" s="1"/>
  <c r="L9" i="2"/>
  <c r="M9" i="2" s="1"/>
  <c r="L7" i="2"/>
  <c r="M7" i="2" s="1"/>
  <c r="F8" i="2"/>
  <c r="F9" i="2"/>
  <c r="F7" i="2"/>
  <c r="G8" i="2"/>
  <c r="J8" i="2" s="1"/>
  <c r="J9" i="2"/>
  <c r="H9" i="2"/>
  <c r="J7" i="2"/>
</calcChain>
</file>

<file path=xl/sharedStrings.xml><?xml version="1.0" encoding="utf-8"?>
<sst xmlns="http://schemas.openxmlformats.org/spreadsheetml/2006/main" count="86" uniqueCount="32">
  <si>
    <t xml:space="preserve">Mês </t>
  </si>
  <si>
    <t xml:space="preserve">Discados </t>
  </si>
  <si>
    <t>CPC</t>
  </si>
  <si>
    <t xml:space="preserve">Telefonia </t>
  </si>
  <si>
    <t>Recusa</t>
  </si>
  <si>
    <t>Venda</t>
  </si>
  <si>
    <t xml:space="preserve">Alôs </t>
  </si>
  <si>
    <t>Conversão</t>
  </si>
  <si>
    <t xml:space="preserve">Lig/Venda </t>
  </si>
  <si>
    <t>Semana</t>
  </si>
  <si>
    <t>seg</t>
  </si>
  <si>
    <t>ter</t>
  </si>
  <si>
    <t>qua</t>
  </si>
  <si>
    <t>sex</t>
  </si>
  <si>
    <t>qui</t>
  </si>
  <si>
    <t>JUNHO</t>
  </si>
  <si>
    <t>Produtivo</t>
  </si>
  <si>
    <t>TMKT</t>
  </si>
  <si>
    <t>Mailing</t>
  </si>
  <si>
    <t>Tentativas</t>
  </si>
  <si>
    <t>Total 22,5 DU</t>
  </si>
  <si>
    <t>Conversão Mailing</t>
  </si>
  <si>
    <t>Conversão Produtivas</t>
  </si>
  <si>
    <t>Junho</t>
  </si>
  <si>
    <t>Julho</t>
  </si>
  <si>
    <t>Ativos DU</t>
  </si>
  <si>
    <t>Maio</t>
  </si>
  <si>
    <t>Mês</t>
  </si>
  <si>
    <t>Parceiro</t>
  </si>
  <si>
    <t>WEBDEALER LOGMAIS</t>
  </si>
  <si>
    <t>MIDIA SIMPLES</t>
  </si>
  <si>
    <t>Total 25 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</si>
</sst>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hair">
        <color theme="9" tint="0.39994506668294322"/>
      </left>
      <right style="hair">
        <color theme="9" tint="0.39994506668294322"/>
      </right>
      <top style="hair">
        <color theme="9" tint="0.39994506668294322"/>
      </top>
      <bottom style="hair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1" fontId="0" fillId="0" borderId="2" xfId="0" applyNumberFormat="1" applyBorder="1"/>
    <xf numFmtId="164" fontId="0" fillId="0" borderId="2" xfId="1" applyNumberFormat="1" applyFont="1" applyBorder="1"/>
    <xf numFmtId="0" fontId="0" fillId="4" borderId="2" xfId="0" applyFill="1" applyBorder="1"/>
    <xf numFmtId="164" fontId="0" fillId="4" borderId="2" xfId="1" applyNumberFormat="1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A5F6-EB51-493F-B70E-B876267DBDED}">
  <dimension ref="B2:K24"/>
  <sheetViews>
    <sheetView workbookViewId="0">
      <selection activeCell="J2" sqref="J2:K3"/>
    </sheetView>
  </sheetViews>
  <sheetFormatPr defaultRowHeight="15" x14ac:dyDescent="0.25"/>
  <cols>
    <col min="2" max="2" width="10.42578125" bestFit="1" customWidth="1"/>
  </cols>
  <sheetData>
    <row r="2" spans="2:11" x14ac:dyDescent="0.25">
      <c r="B2" s="16" t="s">
        <v>0</v>
      </c>
      <c r="C2" s="16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x14ac:dyDescent="0.25">
      <c r="B3" s="2" t="s">
        <v>15</v>
      </c>
      <c r="C3" s="2" t="s">
        <v>9</v>
      </c>
      <c r="D3" s="2">
        <v>2085288</v>
      </c>
      <c r="E3" s="2">
        <v>6673</v>
      </c>
      <c r="F3" s="2">
        <v>2078615</v>
      </c>
      <c r="G3" s="2">
        <v>5368.856022243448</v>
      </c>
      <c r="H3" s="2">
        <v>1306</v>
      </c>
      <c r="I3" s="2">
        <v>56720</v>
      </c>
      <c r="J3" s="3">
        <v>0.19571407163194965</v>
      </c>
      <c r="K3" s="4">
        <v>43.430321592649314</v>
      </c>
    </row>
    <row r="4" spans="2:11" x14ac:dyDescent="0.25">
      <c r="B4" s="5">
        <v>46174</v>
      </c>
      <c r="C4" s="5" t="s">
        <v>10</v>
      </c>
      <c r="D4" s="6">
        <v>119486</v>
      </c>
      <c r="E4" s="6">
        <v>372</v>
      </c>
      <c r="F4" s="6">
        <v>119114</v>
      </c>
      <c r="G4" s="6">
        <v>300</v>
      </c>
      <c r="H4" s="6">
        <v>72</v>
      </c>
      <c r="I4" s="7">
        <v>3251</v>
      </c>
      <c r="J4" s="8">
        <v>0.19354838709677419</v>
      </c>
      <c r="K4" s="9">
        <v>45.152777777777779</v>
      </c>
    </row>
    <row r="5" spans="2:11" x14ac:dyDescent="0.25">
      <c r="B5" s="5">
        <v>46175</v>
      </c>
      <c r="C5" s="5" t="s">
        <v>11</v>
      </c>
      <c r="D5" s="6">
        <v>114405</v>
      </c>
      <c r="E5" s="6">
        <v>356</v>
      </c>
      <c r="F5" s="6">
        <v>114049</v>
      </c>
      <c r="G5" s="6">
        <v>294.99371774022876</v>
      </c>
      <c r="H5" s="6">
        <v>61</v>
      </c>
      <c r="I5" s="7">
        <v>3111</v>
      </c>
      <c r="J5" s="8">
        <v>0.17134831460674158</v>
      </c>
      <c r="K5" s="9">
        <v>51</v>
      </c>
    </row>
    <row r="6" spans="2:11" x14ac:dyDescent="0.25">
      <c r="B6" s="5">
        <v>46176</v>
      </c>
      <c r="C6" s="5" t="s">
        <v>12</v>
      </c>
      <c r="D6" s="6">
        <v>112697</v>
      </c>
      <c r="E6" s="6">
        <v>353</v>
      </c>
      <c r="F6" s="6">
        <v>112344</v>
      </c>
      <c r="G6" s="6">
        <v>290.59082643067308</v>
      </c>
      <c r="H6" s="6">
        <v>63</v>
      </c>
      <c r="I6" s="7">
        <v>3065</v>
      </c>
      <c r="J6" s="8">
        <v>0.17847025495750707</v>
      </c>
      <c r="K6" s="9">
        <v>48.650793650793652</v>
      </c>
    </row>
    <row r="7" spans="2:11" x14ac:dyDescent="0.25">
      <c r="B7" s="5">
        <v>46178</v>
      </c>
      <c r="C7" s="5" t="s">
        <v>13</v>
      </c>
      <c r="D7" s="6">
        <v>109282</v>
      </c>
      <c r="E7" s="6">
        <v>341</v>
      </c>
      <c r="F7" s="6">
        <v>108941</v>
      </c>
      <c r="G7" s="6">
        <v>281.78504381156176</v>
      </c>
      <c r="H7" s="6">
        <v>59</v>
      </c>
      <c r="I7" s="7">
        <v>2972</v>
      </c>
      <c r="J7" s="8">
        <v>0.17302052785923755</v>
      </c>
      <c r="K7" s="9">
        <v>50.372881355932201</v>
      </c>
    </row>
    <row r="8" spans="2:11" x14ac:dyDescent="0.25">
      <c r="B8" s="5">
        <v>46181</v>
      </c>
      <c r="C8" s="5" t="s">
        <v>10</v>
      </c>
      <c r="D8" s="6">
        <v>104099</v>
      </c>
      <c r="E8" s="6">
        <v>344</v>
      </c>
      <c r="F8" s="6">
        <v>103755</v>
      </c>
      <c r="G8" s="6">
        <v>268.42008045116364</v>
      </c>
      <c r="H8" s="6">
        <v>73</v>
      </c>
      <c r="I8" s="7">
        <v>2831</v>
      </c>
      <c r="J8" s="8">
        <v>0.21220930232558138</v>
      </c>
      <c r="K8" s="9">
        <v>38.780821917808218</v>
      </c>
    </row>
    <row r="9" spans="2:11" x14ac:dyDescent="0.25">
      <c r="B9" s="5">
        <v>46182</v>
      </c>
      <c r="C9" s="5" t="s">
        <v>11</v>
      </c>
      <c r="D9" s="6">
        <v>106910</v>
      </c>
      <c r="E9" s="6">
        <v>346</v>
      </c>
      <c r="F9" s="6">
        <v>106564</v>
      </c>
      <c r="G9" s="6">
        <v>275.66991699273444</v>
      </c>
      <c r="H9" s="6">
        <v>70</v>
      </c>
      <c r="I9" s="7">
        <v>2909</v>
      </c>
      <c r="J9" s="8">
        <v>0.20231213872832371</v>
      </c>
      <c r="K9" s="9">
        <v>41.557142857142857</v>
      </c>
    </row>
    <row r="10" spans="2:11" x14ac:dyDescent="0.25">
      <c r="B10" s="5">
        <v>46183</v>
      </c>
      <c r="C10" s="5" t="s">
        <v>12</v>
      </c>
      <c r="D10" s="6">
        <v>101819</v>
      </c>
      <c r="E10" s="6">
        <v>307</v>
      </c>
      <c r="F10" s="6">
        <v>101512</v>
      </c>
      <c r="G10" s="6">
        <v>262.54277808831858</v>
      </c>
      <c r="H10" s="6">
        <v>44</v>
      </c>
      <c r="I10" s="7">
        <v>2769</v>
      </c>
      <c r="J10" s="8">
        <v>0.14332247557003258</v>
      </c>
      <c r="K10" s="9">
        <v>62.93181818181818</v>
      </c>
    </row>
    <row r="11" spans="2:11" x14ac:dyDescent="0.25">
      <c r="B11" s="5">
        <v>46184</v>
      </c>
      <c r="C11" s="5" t="s">
        <v>14</v>
      </c>
      <c r="D11" s="6">
        <v>98425</v>
      </c>
      <c r="E11" s="6">
        <v>319</v>
      </c>
      <c r="F11" s="6">
        <v>98106</v>
      </c>
      <c r="G11" s="6">
        <v>253.79135215204124</v>
      </c>
      <c r="H11" s="6">
        <v>65</v>
      </c>
      <c r="I11" s="7">
        <v>2677</v>
      </c>
      <c r="J11" s="8">
        <v>0.20376175548589343</v>
      </c>
      <c r="K11" s="9">
        <v>41.184615384615384</v>
      </c>
    </row>
    <row r="12" spans="2:11" x14ac:dyDescent="0.25">
      <c r="B12" s="5">
        <v>46185</v>
      </c>
      <c r="C12" s="5" t="s">
        <v>13</v>
      </c>
      <c r="D12" s="6">
        <v>96728</v>
      </c>
      <c r="E12" s="6">
        <v>314</v>
      </c>
      <c r="F12" s="6">
        <v>96414</v>
      </c>
      <c r="G12" s="6">
        <v>249.41563918390261</v>
      </c>
      <c r="H12" s="6">
        <v>64</v>
      </c>
      <c r="I12" s="7">
        <v>2631</v>
      </c>
      <c r="J12" s="8">
        <v>0.20382165605095542</v>
      </c>
      <c r="K12" s="9">
        <v>41.109375</v>
      </c>
    </row>
    <row r="13" spans="2:11" x14ac:dyDescent="0.25">
      <c r="B13" s="5">
        <v>46188</v>
      </c>
      <c r="C13" s="5" t="s">
        <v>10</v>
      </c>
      <c r="D13" s="6">
        <v>93334</v>
      </c>
      <c r="E13" s="6">
        <v>300</v>
      </c>
      <c r="F13" s="6">
        <v>93034</v>
      </c>
      <c r="G13" s="6">
        <v>240.66421324762533</v>
      </c>
      <c r="H13" s="6">
        <v>59</v>
      </c>
      <c r="I13" s="7">
        <v>2538</v>
      </c>
      <c r="J13" s="8">
        <v>0.19666666666666666</v>
      </c>
      <c r="K13" s="9">
        <v>43.016949152542374</v>
      </c>
    </row>
    <row r="14" spans="2:11" x14ac:dyDescent="0.25">
      <c r="B14" s="5">
        <v>46189</v>
      </c>
      <c r="C14" s="5" t="s">
        <v>11</v>
      </c>
      <c r="D14" s="6">
        <v>116014</v>
      </c>
      <c r="E14" s="6">
        <v>373</v>
      </c>
      <c r="F14" s="6">
        <v>115641</v>
      </c>
      <c r="G14" s="6">
        <v>299.14260649636748</v>
      </c>
      <c r="H14" s="6">
        <v>69</v>
      </c>
      <c r="I14" s="7">
        <v>3157</v>
      </c>
      <c r="J14" s="8">
        <v>0.18498659517426275</v>
      </c>
      <c r="K14" s="9">
        <v>45.753623188405797</v>
      </c>
    </row>
    <row r="15" spans="2:11" x14ac:dyDescent="0.25">
      <c r="B15" s="5">
        <v>46190</v>
      </c>
      <c r="C15" s="5" t="s">
        <v>12</v>
      </c>
      <c r="D15" s="6">
        <v>99503</v>
      </c>
      <c r="E15" s="6">
        <v>327</v>
      </c>
      <c r="F15" s="6">
        <v>99176</v>
      </c>
      <c r="G15" s="6">
        <v>256.57123148932658</v>
      </c>
      <c r="H15" s="6">
        <v>71</v>
      </c>
      <c r="I15" s="7">
        <v>2706</v>
      </c>
      <c r="J15" s="8">
        <v>0.21712538226299694</v>
      </c>
      <c r="K15" s="9">
        <v>38.112676056338032</v>
      </c>
    </row>
    <row r="16" spans="2:11" x14ac:dyDescent="0.25">
      <c r="B16" s="5">
        <v>46191</v>
      </c>
      <c r="C16" s="5" t="s">
        <v>14</v>
      </c>
      <c r="D16" s="6">
        <v>101461</v>
      </c>
      <c r="E16" s="6">
        <v>331</v>
      </c>
      <c r="F16" s="6">
        <v>101130</v>
      </c>
      <c r="G16" s="6">
        <v>261.61955420571587</v>
      </c>
      <c r="H16" s="6">
        <v>70</v>
      </c>
      <c r="I16" s="7">
        <v>2759</v>
      </c>
      <c r="J16" s="8">
        <v>0.21148036253776434</v>
      </c>
      <c r="K16" s="9">
        <v>39.414285714285711</v>
      </c>
    </row>
    <row r="17" spans="2:11" x14ac:dyDescent="0.25">
      <c r="B17" s="5">
        <v>46192</v>
      </c>
      <c r="C17" s="5" t="s">
        <v>13</v>
      </c>
      <c r="D17" s="6">
        <v>96518</v>
      </c>
      <c r="E17" s="6">
        <v>316</v>
      </c>
      <c r="F17" s="6">
        <v>96202</v>
      </c>
      <c r="G17" s="6">
        <v>248.87374903158016</v>
      </c>
      <c r="H17" s="6">
        <v>67</v>
      </c>
      <c r="I17" s="7">
        <v>2627</v>
      </c>
      <c r="J17" s="8">
        <v>0.21202531645569619</v>
      </c>
      <c r="K17" s="9">
        <v>39.208955223880594</v>
      </c>
    </row>
    <row r="18" spans="2:11" x14ac:dyDescent="0.25">
      <c r="B18" s="5">
        <v>46195</v>
      </c>
      <c r="C18" s="5" t="s">
        <v>10</v>
      </c>
      <c r="D18" s="6">
        <v>122988</v>
      </c>
      <c r="E18" s="6">
        <v>381</v>
      </c>
      <c r="F18" s="6">
        <v>122607</v>
      </c>
      <c r="G18" s="6">
        <v>317.12734433082863</v>
      </c>
      <c r="H18" s="6">
        <v>64</v>
      </c>
      <c r="I18" s="7">
        <v>3345</v>
      </c>
      <c r="J18" s="8">
        <v>0.16797900262467191</v>
      </c>
      <c r="K18" s="9">
        <v>52.265625</v>
      </c>
    </row>
    <row r="19" spans="2:11" x14ac:dyDescent="0.25">
      <c r="B19" s="5">
        <v>46196</v>
      </c>
      <c r="C19" s="5" t="s">
        <v>11</v>
      </c>
      <c r="D19" s="6">
        <v>113648</v>
      </c>
      <c r="E19" s="6">
        <v>359</v>
      </c>
      <c r="F19" s="6">
        <v>113289</v>
      </c>
      <c r="G19" s="6">
        <v>293.04222720000001</v>
      </c>
      <c r="H19" s="6">
        <v>66</v>
      </c>
      <c r="I19" s="7">
        <v>3091</v>
      </c>
      <c r="J19" s="8">
        <v>0.18384401114206128</v>
      </c>
      <c r="K19" s="9">
        <v>46.833333333333336</v>
      </c>
    </row>
    <row r="20" spans="2:11" x14ac:dyDescent="0.25">
      <c r="B20" s="5">
        <v>46197</v>
      </c>
      <c r="C20" s="5" t="s">
        <v>12</v>
      </c>
      <c r="D20" s="6">
        <v>72269</v>
      </c>
      <c r="E20" s="6">
        <v>248</v>
      </c>
      <c r="F20" s="6">
        <v>72021</v>
      </c>
      <c r="G20" s="6">
        <v>186.34811358379019</v>
      </c>
      <c r="H20" s="6">
        <v>61</v>
      </c>
      <c r="I20" s="7">
        <v>1967</v>
      </c>
      <c r="J20" s="8">
        <v>0.24596774193548387</v>
      </c>
      <c r="K20" s="9">
        <v>32.245901639344261</v>
      </c>
    </row>
    <row r="21" spans="2:11" x14ac:dyDescent="0.25">
      <c r="B21" s="5">
        <v>46198</v>
      </c>
      <c r="C21" s="5" t="s">
        <v>14</v>
      </c>
      <c r="D21" s="6">
        <v>105787</v>
      </c>
      <c r="E21" s="6">
        <v>335</v>
      </c>
      <c r="F21" s="6">
        <v>105452</v>
      </c>
      <c r="G21" s="6">
        <v>272.77229113826843</v>
      </c>
      <c r="H21" s="6">
        <v>63</v>
      </c>
      <c r="I21" s="7">
        <v>2877</v>
      </c>
      <c r="J21" s="8">
        <v>0.18805970149253731</v>
      </c>
      <c r="K21" s="9">
        <v>45.666666666666664</v>
      </c>
    </row>
    <row r="22" spans="2:11" x14ac:dyDescent="0.25">
      <c r="B22" s="5">
        <v>46199</v>
      </c>
      <c r="C22" s="5" t="s">
        <v>13</v>
      </c>
      <c r="D22" s="6">
        <v>104121</v>
      </c>
      <c r="E22" s="6">
        <v>328</v>
      </c>
      <c r="F22" s="6">
        <v>103793</v>
      </c>
      <c r="G22" s="6">
        <v>268.47811319438046</v>
      </c>
      <c r="H22" s="6">
        <v>59</v>
      </c>
      <c r="I22" s="7">
        <v>2832</v>
      </c>
      <c r="J22" s="8">
        <v>0.1798780487804878</v>
      </c>
      <c r="K22" s="9">
        <v>48</v>
      </c>
    </row>
    <row r="23" spans="2:11" x14ac:dyDescent="0.25">
      <c r="B23" s="5">
        <v>46202</v>
      </c>
      <c r="C23" s="5" t="s">
        <v>10</v>
      </c>
      <c r="D23" s="6">
        <v>95794</v>
      </c>
      <c r="E23" s="6">
        <v>323</v>
      </c>
      <c r="F23" s="6">
        <v>95471</v>
      </c>
      <c r="G23" s="6">
        <v>247.00722347494232</v>
      </c>
      <c r="H23" s="6">
        <v>76</v>
      </c>
      <c r="I23" s="7">
        <v>2605</v>
      </c>
      <c r="J23" s="8">
        <v>0.23529411764705882</v>
      </c>
      <c r="K23" s="9">
        <v>34.276315789473685</v>
      </c>
    </row>
    <row r="24" spans="2:11" x14ac:dyDescent="0.25">
      <c r="B24" s="5">
        <v>46203</v>
      </c>
      <c r="C24" s="5" t="s">
        <v>11</v>
      </c>
      <c r="D24" s="6">
        <v>45425</v>
      </c>
      <c r="E24" s="6">
        <v>152</v>
      </c>
      <c r="F24" s="6">
        <v>45273</v>
      </c>
      <c r="G24" s="6">
        <v>89</v>
      </c>
      <c r="H24" s="6">
        <v>10</v>
      </c>
      <c r="I24" s="7">
        <v>868</v>
      </c>
      <c r="J24" s="8">
        <v>6.5789473684210523E-2</v>
      </c>
      <c r="K24" s="9">
        <v>86.8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headerFooter>
    <oddHeader>&amp;L&amp;"Aptos"&amp;8&amp;K000000 Externo&amp;1#_x000D_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096A-35B4-4436-A9BC-74DA53BA2640}">
  <dimension ref="B1:M14"/>
  <sheetViews>
    <sheetView tabSelected="1" workbookViewId="0">
      <selection activeCell="M19" sqref="M19"/>
    </sheetView>
  </sheetViews>
  <sheetFormatPr defaultRowHeight="15" x14ac:dyDescent="0.25"/>
  <cols>
    <col min="3" max="3" width="8.42578125" bestFit="1" customWidth="1"/>
    <col min="4" max="4" width="7.5703125" bestFit="1" customWidth="1"/>
    <col min="5" max="5" width="10" bestFit="1" customWidth="1"/>
    <col min="6" max="6" width="10" customWidth="1"/>
    <col min="7" max="7" width="9.42578125" bestFit="1" customWidth="1"/>
    <col min="8" max="8" width="7.42578125" bestFit="1" customWidth="1"/>
    <col min="9" max="9" width="6.5703125" bestFit="1" customWidth="1"/>
    <col min="10" max="10" width="20.42578125" bestFit="1" customWidth="1"/>
    <col min="11" max="11" width="9.28515625" bestFit="1" customWidth="1"/>
    <col min="12" max="12" width="12.42578125" bestFit="1" customWidth="1"/>
    <col min="13" max="13" width="17.5703125" bestFit="1" customWidth="1"/>
  </cols>
  <sheetData>
    <row r="1" spans="2:13" x14ac:dyDescent="0.25">
      <c r="B1" s="10" t="s">
        <v>27</v>
      </c>
      <c r="C1" s="10" t="s">
        <v>28</v>
      </c>
      <c r="D1" s="10" t="s">
        <v>18</v>
      </c>
      <c r="E1" s="10" t="s">
        <v>19</v>
      </c>
      <c r="F1" s="10" t="s">
        <v>19</v>
      </c>
      <c r="G1" s="10" t="s">
        <v>16</v>
      </c>
      <c r="H1" s="10" t="s">
        <v>4</v>
      </c>
      <c r="I1" s="10" t="s">
        <v>5</v>
      </c>
      <c r="J1" s="11" t="s">
        <v>22</v>
      </c>
      <c r="K1" s="14" t="s">
        <v>25</v>
      </c>
      <c r="L1" s="14" t="s">
        <v>20</v>
      </c>
      <c r="M1" s="14" t="s">
        <v>21</v>
      </c>
    </row>
    <row r="2" spans="2:13" x14ac:dyDescent="0.25">
      <c r="B2" s="10" t="s">
        <v>26</v>
      </c>
      <c r="C2" s="10" t="s">
        <v>17</v>
      </c>
      <c r="D2" s="10">
        <v>80000</v>
      </c>
      <c r="E2" s="10">
        <v>2085288</v>
      </c>
      <c r="F2" s="12">
        <f>E2/D2</f>
        <v>26.066099999999999</v>
      </c>
      <c r="G2" s="10">
        <v>6675</v>
      </c>
      <c r="H2" s="12">
        <v>5368.856022243448</v>
      </c>
      <c r="I2" s="10">
        <v>1306</v>
      </c>
      <c r="J2" s="13">
        <f>I2/G2</f>
        <v>0.19565543071161048</v>
      </c>
      <c r="K2" s="14">
        <v>57</v>
      </c>
      <c r="L2" s="14">
        <f>K2*22.5</f>
        <v>1282.5</v>
      </c>
      <c r="M2" s="15">
        <f>L2/D2</f>
        <v>1.603125E-2</v>
      </c>
    </row>
    <row r="3" spans="2:13" x14ac:dyDescent="0.25">
      <c r="B3" s="10" t="s">
        <v>26</v>
      </c>
      <c r="C3" s="10" t="s">
        <v>30</v>
      </c>
      <c r="D3" s="10">
        <v>120000</v>
      </c>
      <c r="E3" s="10">
        <v>1582000</v>
      </c>
      <c r="F3" s="12">
        <f t="shared" ref="F3:F4" si="0">E3/D3</f>
        <v>13.183333333333334</v>
      </c>
      <c r="G3" s="10">
        <f>SUM(H3,I3)</f>
        <v>155587</v>
      </c>
      <c r="H3" s="10">
        <v>152000</v>
      </c>
      <c r="I3" s="10">
        <v>3587</v>
      </c>
      <c r="J3" s="13">
        <f>I3/G3</f>
        <v>2.305462538643974E-2</v>
      </c>
      <c r="K3" s="14">
        <v>194</v>
      </c>
      <c r="L3" s="14">
        <f t="shared" ref="L3:L4" si="1">K3*22.5</f>
        <v>4365</v>
      </c>
      <c r="M3" s="15">
        <f t="shared" ref="M3:M4" si="2">L3/D3</f>
        <v>3.6374999999999998E-2</v>
      </c>
    </row>
    <row r="4" spans="2:13" x14ac:dyDescent="0.25">
      <c r="B4" s="10" t="s">
        <v>26</v>
      </c>
      <c r="C4" s="10" t="s">
        <v>29</v>
      </c>
      <c r="D4" s="10">
        <v>60000</v>
      </c>
      <c r="E4" s="10">
        <v>1940</v>
      </c>
      <c r="F4" s="12">
        <f t="shared" si="0"/>
        <v>3.2333333333333332E-2</v>
      </c>
      <c r="G4" s="10">
        <v>110</v>
      </c>
      <c r="H4" s="10">
        <f>G4-I4</f>
        <v>97</v>
      </c>
      <c r="I4" s="10">
        <v>13</v>
      </c>
      <c r="J4" s="13">
        <f>I4/G4</f>
        <v>0.11818181818181818</v>
      </c>
      <c r="K4" s="14">
        <v>2</v>
      </c>
      <c r="L4" s="14">
        <f t="shared" si="1"/>
        <v>45</v>
      </c>
      <c r="M4" s="15">
        <f t="shared" si="2"/>
        <v>7.5000000000000002E-4</v>
      </c>
    </row>
    <row r="6" spans="2:13" x14ac:dyDescent="0.25">
      <c r="B6" s="10" t="s">
        <v>27</v>
      </c>
      <c r="C6" s="10" t="s">
        <v>28</v>
      </c>
      <c r="D6" s="10" t="s">
        <v>18</v>
      </c>
      <c r="E6" s="10" t="s">
        <v>19</v>
      </c>
      <c r="F6" s="10" t="s">
        <v>19</v>
      </c>
      <c r="G6" s="10" t="s">
        <v>16</v>
      </c>
      <c r="H6" s="10" t="s">
        <v>4</v>
      </c>
      <c r="I6" s="10" t="s">
        <v>5</v>
      </c>
      <c r="J6" s="11" t="s">
        <v>22</v>
      </c>
      <c r="K6" s="14" t="s">
        <v>25</v>
      </c>
      <c r="L6" s="14" t="s">
        <v>20</v>
      </c>
      <c r="M6" s="14" t="s">
        <v>21</v>
      </c>
    </row>
    <row r="7" spans="2:13" x14ac:dyDescent="0.25">
      <c r="B7" s="10" t="s">
        <v>23</v>
      </c>
      <c r="C7" s="10" t="s">
        <v>17</v>
      </c>
      <c r="D7" s="10">
        <v>80000</v>
      </c>
      <c r="E7" s="10">
        <v>2085288</v>
      </c>
      <c r="F7" s="12">
        <f>E7/D7</f>
        <v>26.066099999999999</v>
      </c>
      <c r="G7" s="10">
        <v>6675</v>
      </c>
      <c r="H7" s="12">
        <v>5368.856022243448</v>
      </c>
      <c r="I7" s="10">
        <v>1306</v>
      </c>
      <c r="J7" s="13">
        <f>I7/G7</f>
        <v>0.19565543071161048</v>
      </c>
      <c r="K7" s="14">
        <v>57</v>
      </c>
      <c r="L7" s="14">
        <f>K7*22.5</f>
        <v>1282.5</v>
      </c>
      <c r="M7" s="15">
        <f>L7/D7</f>
        <v>1.603125E-2</v>
      </c>
    </row>
    <row r="8" spans="2:13" x14ac:dyDescent="0.25">
      <c r="B8" s="10" t="s">
        <v>23</v>
      </c>
      <c r="C8" s="10" t="s">
        <v>30</v>
      </c>
      <c r="D8" s="10">
        <v>120000</v>
      </c>
      <c r="E8" s="10">
        <v>1582000</v>
      </c>
      <c r="F8" s="12">
        <f t="shared" ref="F8:F9" si="3">E8/D8</f>
        <v>13.183333333333334</v>
      </c>
      <c r="G8" s="10">
        <f>SUM(H8,I8)</f>
        <v>155587</v>
      </c>
      <c r="H8" s="10">
        <v>152000</v>
      </c>
      <c r="I8" s="10">
        <v>3587</v>
      </c>
      <c r="J8" s="13">
        <f>I8/G8</f>
        <v>2.305462538643974E-2</v>
      </c>
      <c r="K8" s="14">
        <v>194</v>
      </c>
      <c r="L8" s="14">
        <f t="shared" ref="L8:L9" si="4">K8*22.5</f>
        <v>4365</v>
      </c>
      <c r="M8" s="15">
        <f t="shared" ref="M8:M9" si="5">L8/D8</f>
        <v>3.6374999999999998E-2</v>
      </c>
    </row>
    <row r="9" spans="2:13" x14ac:dyDescent="0.25">
      <c r="B9" s="10" t="s">
        <v>23</v>
      </c>
      <c r="C9" s="10" t="s">
        <v>29</v>
      </c>
      <c r="D9" s="10">
        <v>60000</v>
      </c>
      <c r="E9" s="10">
        <v>1940</v>
      </c>
      <c r="F9" s="12">
        <f t="shared" si="3"/>
        <v>3.2333333333333332E-2</v>
      </c>
      <c r="G9" s="10">
        <v>110</v>
      </c>
      <c r="H9" s="10">
        <f>G9-I9</f>
        <v>97</v>
      </c>
      <c r="I9" s="10">
        <v>13</v>
      </c>
      <c r="J9" s="13">
        <f>I9/G9</f>
        <v>0.11818181818181818</v>
      </c>
      <c r="K9" s="14">
        <v>2</v>
      </c>
      <c r="L9" s="14">
        <f t="shared" si="4"/>
        <v>45</v>
      </c>
      <c r="M9" s="15">
        <f t="shared" si="5"/>
        <v>7.5000000000000002E-4</v>
      </c>
    </row>
    <row r="11" spans="2:13" x14ac:dyDescent="0.25">
      <c r="B11" s="10" t="s">
        <v>27</v>
      </c>
      <c r="C11" s="10" t="s">
        <v>28</v>
      </c>
      <c r="D11" s="10" t="s">
        <v>18</v>
      </c>
      <c r="E11" s="10" t="s">
        <v>19</v>
      </c>
      <c r="F11" s="10" t="s">
        <v>19</v>
      </c>
      <c r="G11" s="10" t="s">
        <v>16</v>
      </c>
      <c r="H11" s="10" t="s">
        <v>4</v>
      </c>
      <c r="I11" s="10" t="s">
        <v>5</v>
      </c>
      <c r="J11" s="11" t="s">
        <v>22</v>
      </c>
      <c r="K11" s="14" t="s">
        <v>25</v>
      </c>
      <c r="L11" s="14" t="s">
        <v>31</v>
      </c>
      <c r="M11" s="14" t="s">
        <v>21</v>
      </c>
    </row>
    <row r="12" spans="2:13" x14ac:dyDescent="0.25">
      <c r="B12" s="10" t="s">
        <v>24</v>
      </c>
      <c r="C12" s="10" t="s">
        <v>17</v>
      </c>
      <c r="D12" s="10">
        <v>40000</v>
      </c>
      <c r="E12" s="10"/>
      <c r="F12" s="12"/>
      <c r="G12" s="10"/>
      <c r="H12" s="12"/>
      <c r="I12" s="10"/>
      <c r="J12" s="13" t="e">
        <f>I12/G12</f>
        <v>#DIV/0!</v>
      </c>
      <c r="K12" s="14"/>
      <c r="L12" s="14">
        <f>K12*22.5</f>
        <v>0</v>
      </c>
      <c r="M12" s="15">
        <f>L12/D12</f>
        <v>0</v>
      </c>
    </row>
    <row r="13" spans="2:13" x14ac:dyDescent="0.25">
      <c r="B13" s="10" t="s">
        <v>24</v>
      </c>
      <c r="C13" s="10" t="s">
        <v>30</v>
      </c>
      <c r="D13" s="10">
        <v>70000</v>
      </c>
      <c r="E13" s="10"/>
      <c r="F13" s="12"/>
      <c r="G13" s="10"/>
      <c r="H13" s="10"/>
      <c r="I13" s="10"/>
      <c r="J13" s="13" t="e">
        <f>I13/G13</f>
        <v>#DIV/0!</v>
      </c>
      <c r="K13" s="14"/>
      <c r="L13" s="14">
        <f t="shared" ref="L13:L14" si="6">K13*22.5</f>
        <v>0</v>
      </c>
      <c r="M13" s="15">
        <f t="shared" ref="M13:M14" si="7">L13/D13</f>
        <v>0</v>
      </c>
    </row>
    <row r="14" spans="2:13" x14ac:dyDescent="0.25">
      <c r="B14" s="10" t="s">
        <v>24</v>
      </c>
      <c r="C14" s="10" t="s">
        <v>29</v>
      </c>
      <c r="D14" s="10">
        <v>30000</v>
      </c>
      <c r="E14" s="10"/>
      <c r="F14" s="12"/>
      <c r="G14" s="10"/>
      <c r="H14" s="10"/>
      <c r="I14" s="10"/>
      <c r="J14" s="13" t="e">
        <f>I14/G14</f>
        <v>#DIV/0!</v>
      </c>
      <c r="K14" s="14"/>
      <c r="L14" s="14">
        <f t="shared" si="6"/>
        <v>0</v>
      </c>
      <c r="M14" s="15">
        <f t="shared" si="7"/>
        <v>0</v>
      </c>
    </row>
  </sheetData>
  <pageMargins left="0.511811024" right="0.511811024" top="0.78740157499999996" bottom="0.78740157499999996" header="0.31496062000000002" footer="0.31496062000000002"/>
  <headerFooter>
    <oddHeader>&amp;L&amp;"Aptos"&amp;8&amp;K000000 Externo&amp;1#_x000D_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Keity Guimaraes</dc:creator>
  <cp:lastModifiedBy>Keity Guimaraes</cp:lastModifiedBy>
  <dcterms:created xsi:type="dcterms:W3CDTF">2026-07-03T18:02:03Z</dcterms:created>
  <dcterms:modified xsi:type="dcterms:W3CDTF">2026-07-06T14:13:24Z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cbbe3-9148-4f66-b9c9-bc6e43d59135_Enabled">
    <vt:lpwstr>true</vt:lpwstr>
  </property>
  <property fmtid="{D5CDD505-2E9C-101B-9397-08002B2CF9AE}" pid="3" name="MSIP_Label_59ccbbe3-9148-4f66-b9c9-bc6e43d59135_SetDate">
    <vt:lpwstr>2026-07-03T18:34:49Z</vt:lpwstr>
  </property>
  <property fmtid="{D5CDD505-2E9C-101B-9397-08002B2CF9AE}" pid="4" name="MSIP_Label_59ccbbe3-9148-4f66-b9c9-bc6e43d59135_Method">
    <vt:lpwstr>Privileged</vt:lpwstr>
  </property>
  <property fmtid="{D5CDD505-2E9C-101B-9397-08002B2CF9AE}" pid="5" name="MSIP_Label_59ccbbe3-9148-4f66-b9c9-bc6e43d59135_Name">
    <vt:lpwstr>Externo</vt:lpwstr>
  </property>
  <property fmtid="{D5CDD505-2E9C-101B-9397-08002B2CF9AE}" pid="6" name="MSIP_Label_59ccbbe3-9148-4f66-b9c9-bc6e43d59135_SiteId">
    <vt:lpwstr>c88ac64b-94a0-4c65-9d9c-695ef56aa0eb</vt:lpwstr>
  </property>
  <property fmtid="{D5CDD505-2E9C-101B-9397-08002B2CF9AE}" pid="7" name="MSIP_Label_59ccbbe3-9148-4f66-b9c9-bc6e43d59135_ActionId">
    <vt:lpwstr>065a684d-dc66-4a72-a6cb-c734d7eba1aa</vt:lpwstr>
  </property>
  <property fmtid="{D5CDD505-2E9C-101B-9397-08002B2CF9AE}" pid="8" name="MSIP_Label_59ccbbe3-9148-4f66-b9c9-bc6e43d59135_ContentBits">
    <vt:lpwstr>1</vt:lpwstr>
  </property>
  <property fmtid="{D5CDD505-2E9C-101B-9397-08002B2CF9AE}" pid="9" name="MSIP_Label_59ccbbe3-9148-4f66-b9c9-bc6e43d59135_Tag">
    <vt:lpwstr>10, 0, 1, 1</vt:lpwstr>
  </property>
</Properties>
</file>